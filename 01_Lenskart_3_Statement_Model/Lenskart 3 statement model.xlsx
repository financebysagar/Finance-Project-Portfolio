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7071d6cf62a0f4/Desktop/Projects/Lenskart 3 Statement Financial Model/"/>
    </mc:Choice>
  </mc:AlternateContent>
  <xr:revisionPtr revIDLastSave="621" documentId="8_{88CF701D-FEDB-4ECF-8FFF-DD7DBFCFC0CA}" xr6:coauthVersionLast="47" xr6:coauthVersionMax="47" xr10:uidLastSave="{18F30639-F72F-4486-AF57-ED675B53682E}"/>
  <bookViews>
    <workbookView xWindow="0" yWindow="0" windowWidth="23040" windowHeight="12240" xr2:uid="{E5CCC83C-7FA5-7344-8D9E-DCD20885CE04}"/>
  </bookViews>
  <sheets>
    <sheet name="3 Statement Financial Model" sheetId="1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1" l="1" a="1"/>
  <c r="L10" i="11"/>
  <c r="M10" i="11"/>
  <c r="N10" i="11" a="1"/>
  <c r="N10" i="11"/>
  <c r="O10" i="11" a="1"/>
  <c r="O10" i="11"/>
  <c r="O14" i="11" s="1" a="1"/>
  <c r="O14" i="11" s="1"/>
  <c r="P10" i="11" a="1"/>
  <c r="P10" i="11"/>
  <c r="P14" i="11" s="1" a="1"/>
  <c r="P14" i="11" s="1"/>
  <c r="L14" i="11" a="1"/>
  <c r="L14" i="11"/>
  <c r="M14" i="11" a="1"/>
  <c r="M14" i="11" s="1"/>
  <c r="O18" i="11" a="1"/>
  <c r="O18" i="11"/>
  <c r="O21" i="11" s="1" a="1"/>
  <c r="O21" i="11" s="1"/>
  <c r="P18" i="11" a="1"/>
  <c r="P18" i="11"/>
  <c r="P21" i="11" s="1" a="1"/>
  <c r="P21" i="11" s="1"/>
  <c r="O25" i="11" a="1"/>
  <c r="O25" i="11"/>
  <c r="P25" i="11" a="1"/>
  <c r="P25" i="11" s="1"/>
  <c r="G27" i="11" a="1"/>
  <c r="G27" i="11" s="1"/>
  <c r="H27" i="11" a="1"/>
  <c r="H27" i="11"/>
  <c r="G36" i="11" a="1"/>
  <c r="G36" i="11" s="1"/>
  <c r="H36" i="11" a="1"/>
  <c r="H36" i="11"/>
  <c r="G43" i="11" a="1"/>
  <c r="G43" i="11" s="1"/>
  <c r="H43" i="11" a="1"/>
  <c r="H43" i="11" s="1"/>
  <c r="F43" i="11" a="1"/>
  <c r="F43" i="11" s="1"/>
  <c r="E43" i="11" a="1"/>
  <c r="E43" i="11" s="1"/>
  <c r="D43" i="11" a="1"/>
  <c r="D43" i="11" s="1"/>
  <c r="F36" i="11" a="1"/>
  <c r="F36" i="11" s="1"/>
  <c r="E36" i="11" a="1"/>
  <c r="E36" i="11" s="1"/>
  <c r="D36" i="11" a="1"/>
  <c r="D36" i="11" s="1"/>
  <c r="F27" i="11" a="1"/>
  <c r="F27" i="11" s="1"/>
  <c r="E27" i="11" a="1"/>
  <c r="E27" i="11" s="1"/>
  <c r="D27" i="11" a="1"/>
  <c r="D27" i="11" s="1"/>
  <c r="N25" i="11" a="1"/>
  <c r="N25" i="11" s="1"/>
  <c r="M25" i="11" a="1"/>
  <c r="M25" i="11" s="1"/>
  <c r="L25" i="11" a="1"/>
  <c r="L25" i="11" s="1"/>
  <c r="N18" i="11" a="1"/>
  <c r="N18" i="11" s="1"/>
  <c r="N21" i="11" s="1" a="1"/>
  <c r="N21" i="11" s="1"/>
  <c r="M18" i="11" a="1"/>
  <c r="M18" i="11" s="1"/>
  <c r="M21" i="11" s="1" a="1"/>
  <c r="M21" i="11" s="1"/>
  <c r="L18" i="11" a="1"/>
  <c r="L18" i="11" s="1"/>
  <c r="L21" i="11" s="1" a="1"/>
  <c r="L21" i="11" s="1"/>
  <c r="G11" i="11"/>
  <c r="F7" i="11" a="1"/>
  <c r="F7" i="11" s="1"/>
  <c r="F12" i="11" s="1"/>
  <c r="F14" i="11" s="1" a="1"/>
  <c r="F14" i="11" s="1"/>
  <c r="F16" i="11" s="1" a="1"/>
  <c r="F16" i="11" s="1"/>
  <c r="E7" i="11" a="1"/>
  <c r="E7" i="11" s="1"/>
  <c r="E12" i="11" s="1" a="1"/>
  <c r="E12" i="11" s="1"/>
  <c r="E14" i="11" s="1" a="1"/>
  <c r="E14" i="11" s="1"/>
  <c r="E16" i="11" s="1" a="1"/>
  <c r="E16" i="11" s="1"/>
  <c r="D7" i="11" a="1"/>
  <c r="D7" i="11" s="1"/>
  <c r="D12" i="11" s="1" a="1"/>
  <c r="D12" i="11" s="1"/>
  <c r="D14" i="11" s="1" a="1"/>
  <c r="D14" i="11" s="1"/>
  <c r="D16" i="11" s="1" a="1"/>
  <c r="D16" i="11" s="1"/>
  <c r="G5" i="11"/>
  <c r="P27" i="11" l="1" a="1"/>
  <c r="P27" i="11" s="1"/>
  <c r="N14" i="11" a="1"/>
  <c r="N14" i="11" s="1"/>
  <c r="O27" i="11" a="1"/>
  <c r="O27" i="11" s="1"/>
  <c r="O29" i="11" s="1"/>
  <c r="H46" i="11"/>
  <c r="H47" i="11" s="1" a="1"/>
  <c r="H47" i="11" s="1"/>
  <c r="P29" i="11"/>
  <c r="G46" i="11"/>
  <c r="G47" i="11" s="1" a="1"/>
  <c r="G47" i="11" s="1"/>
  <c r="H5" i="11" a="1"/>
  <c r="H5" i="11" s="1"/>
  <c r="G6" i="11"/>
  <c r="G7" i="11" s="1" a="1"/>
  <c r="G7" i="11" s="1"/>
  <c r="D46" i="11"/>
  <c r="D47" i="11" s="1" a="1"/>
  <c r="D47" i="11" s="1"/>
  <c r="L27" i="11" a="1"/>
  <c r="L27" i="11" s="1"/>
  <c r="L29" i="11" s="1"/>
  <c r="G8" i="11"/>
  <c r="G9" i="11"/>
  <c r="G10" i="11" a="1"/>
  <c r="G10" i="11" s="1"/>
  <c r="N27" i="11" a="1"/>
  <c r="N27" i="11" s="1"/>
  <c r="F46" i="11"/>
  <c r="F47" i="11" s="1" a="1"/>
  <c r="F47" i="11" s="1"/>
  <c r="E46" i="11"/>
  <c r="E47" i="11" s="1" a="1"/>
  <c r="E47" i="11" s="1"/>
  <c r="M27" i="11" a="1"/>
  <c r="M27" i="11" s="1"/>
  <c r="H11" i="11"/>
  <c r="N29" i="11" l="1"/>
  <c r="M29" i="11"/>
  <c r="G12" i="11" a="1"/>
  <c r="G12" i="11" s="1"/>
  <c r="G14" i="11" s="1" a="1"/>
  <c r="G14" i="11" s="1"/>
  <c r="G15" i="11" s="1"/>
  <c r="G16" i="11" s="1" a="1"/>
  <c r="G16" i="11" s="1"/>
  <c r="H8" i="11"/>
  <c r="H9" i="11"/>
  <c r="H6" i="11"/>
  <c r="H7" i="11" s="1" a="1"/>
  <c r="H7" i="11" s="1"/>
  <c r="H10" i="11"/>
  <c r="H12" i="11" l="1"/>
  <c r="H14" i="11" s="1"/>
  <c r="H15" i="11" s="1"/>
  <c r="H16" i="11" s="1" a="1"/>
  <c r="H16" i="11" s="1"/>
</calcChain>
</file>

<file path=xl/sharedStrings.xml><?xml version="1.0" encoding="utf-8"?>
<sst xmlns="http://schemas.openxmlformats.org/spreadsheetml/2006/main" count="97" uniqueCount="79">
  <si>
    <t>Income Statement</t>
  </si>
  <si>
    <t>Balance Sheet</t>
  </si>
  <si>
    <t>Cash Flow Statement</t>
  </si>
  <si>
    <t>Revenue</t>
  </si>
  <si>
    <t>Inventory</t>
  </si>
  <si>
    <t>Cash Flow from Operating Activities</t>
  </si>
  <si>
    <t>Cash Flow from Investing Activities</t>
  </si>
  <si>
    <t>Cash Flow from Financing Activities</t>
  </si>
  <si>
    <t>Change in Cash</t>
  </si>
  <si>
    <t>COGS</t>
  </si>
  <si>
    <t>SG&amp;A</t>
  </si>
  <si>
    <t>Gross Profit</t>
  </si>
  <si>
    <t>Depreciation</t>
  </si>
  <si>
    <t>Operating Profit</t>
  </si>
  <si>
    <t>Earnings Before Tax</t>
  </si>
  <si>
    <t>Taxes</t>
  </si>
  <si>
    <t>Net Income</t>
  </si>
  <si>
    <t>Cash &amp; Cash Equivalents</t>
  </si>
  <si>
    <t>Accounts Receivable</t>
  </si>
  <si>
    <t>Total Current Assets</t>
  </si>
  <si>
    <t>Property Plant &amp; Equipment (PPE)</t>
  </si>
  <si>
    <t>Total Assets</t>
  </si>
  <si>
    <t>Total Current Liabilities</t>
  </si>
  <si>
    <t>Total Liabilities</t>
  </si>
  <si>
    <t>Total Shareholders' Equity</t>
  </si>
  <si>
    <t>Total Liabilities &amp; Equity</t>
  </si>
  <si>
    <t>Balance Sheet Check</t>
  </si>
  <si>
    <t>Assumptions</t>
  </si>
  <si>
    <t>Income Statement Assumptions</t>
  </si>
  <si>
    <t>End of Year Cash Balance</t>
  </si>
  <si>
    <t>Beginning of Year Cash Balance</t>
  </si>
  <si>
    <t>Interest</t>
  </si>
  <si>
    <t>X</t>
  </si>
  <si>
    <t>Other Expenses</t>
  </si>
  <si>
    <t>Other Income</t>
  </si>
  <si>
    <t>Capital Work in Progress</t>
  </si>
  <si>
    <t>Investments</t>
  </si>
  <si>
    <t>Trade Payable</t>
  </si>
  <si>
    <t>Non controlling int</t>
  </si>
  <si>
    <t>Other liability items</t>
  </si>
  <si>
    <t>Borrowings</t>
  </si>
  <si>
    <t>Reserves</t>
  </si>
  <si>
    <t>Equity Capital</t>
  </si>
  <si>
    <t>Figures in Crores</t>
  </si>
  <si>
    <t>Receivables</t>
  </si>
  <si>
    <t>Payables</t>
  </si>
  <si>
    <t>Other WC items</t>
  </si>
  <si>
    <t>Direct taxes</t>
  </si>
  <si>
    <t>Exceptional CF items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</si>
  <si>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</si>
  <si>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</si>
  <si>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</si>
  <si>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</si>
  <si>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</si>
  <si>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</si>
  <si>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</si>
  <si>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</si>
  <si>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</si>
  <si>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</si>
  <si>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</si>
  <si>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</si>
  <si>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Financial liabilities</t>
  </si>
  <si>
    <t>Other financing items</t>
  </si>
  <si>
    <t>Profit from Operations</t>
  </si>
  <si>
    <t>Revenue Growth Rate (%)</t>
  </si>
  <si>
    <t>COGS as % of Revenue</t>
  </si>
  <si>
    <t>SG&amp;A as % of Revenue</t>
  </si>
  <si>
    <t>Other Expenses as % of Rev</t>
  </si>
  <si>
    <t>Other Income as % of Rev</t>
  </si>
  <si>
    <t>Depreciation as % of PPE</t>
  </si>
  <si>
    <t>Effective Tax Rate (%)</t>
  </si>
  <si>
    <t>Loans and Advances</t>
  </si>
  <si>
    <t>Other Assests Items</t>
  </si>
  <si>
    <t xml:space="preserve">        3 Statement Financial Model (Lenskart Solutions Ltd)</t>
  </si>
  <si>
    <t>2023-24A</t>
  </si>
  <si>
    <t>2024-25A</t>
  </si>
  <si>
    <t>2025-26A</t>
  </si>
  <si>
    <t>2026-27F</t>
  </si>
  <si>
    <t>2027-28F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</si>
</sst>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\A"/>
    <numFmt numFmtId="165" formatCode="0\F"/>
    <numFmt numFmtId="166" formatCode="_(#,##0_);\(#,##0\);_(&quot;–&quot;_);_(@_)"/>
    <numFmt numFmtId="167" formatCode="0.0%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222F"/>
      <name val="Arial"/>
      <family val="2"/>
    </font>
    <font>
      <sz val="12"/>
      <color rgb="FF22222F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  <scheme val="minor"/>
    </font>
    <font>
      <sz val="26"/>
      <color theme="0"/>
      <name val="Arial Black"/>
      <family val="2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DBE4F0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5" fillId="2" borderId="0" xfId="0" applyFont="1" applyFill="1"/>
    <xf numFmtId="0" fontId="4" fillId="0" borderId="1" xfId="0" applyFont="1" applyBorder="1"/>
    <xf numFmtId="0" fontId="4" fillId="3" borderId="2" xfId="0" applyFont="1" applyFill="1" applyBorder="1"/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4" fillId="0" borderId="2" xfId="0" applyFont="1" applyBorder="1"/>
    <xf numFmtId="0" fontId="0" fillId="2" borderId="0" xfId="0" applyFill="1"/>
    <xf numFmtId="166" fontId="0" fillId="0" borderId="0" xfId="0" applyNumberFormat="1"/>
    <xf numFmtId="166" fontId="4" fillId="0" borderId="1" xfId="0" applyNumberFormat="1" applyFont="1" applyBorder="1"/>
    <xf numFmtId="166" fontId="4" fillId="3" borderId="2" xfId="0" applyNumberFormat="1" applyFont="1" applyFill="1" applyBorder="1"/>
    <xf numFmtId="166" fontId="6" fillId="0" borderId="0" xfId="0" applyNumberFormat="1" applyFont="1"/>
    <xf numFmtId="0" fontId="6" fillId="0" borderId="0" xfId="0" applyFont="1"/>
    <xf numFmtId="167" fontId="0" fillId="0" borderId="0" xfId="1" applyNumberFormat="1" applyFont="1"/>
    <xf numFmtId="167" fontId="0" fillId="0" borderId="0" xfId="0" applyNumberFormat="1"/>
    <xf numFmtId="167" fontId="6" fillId="0" borderId="0" xfId="0" applyNumberFormat="1" applyFont="1"/>
    <xf numFmtId="167" fontId="6" fillId="0" borderId="0" xfId="1" applyNumberFormat="1" applyFont="1"/>
    <xf numFmtId="166" fontId="4" fillId="0" borderId="0" xfId="0" applyNumberFormat="1" applyFont="1"/>
    <xf numFmtId="1" fontId="6" fillId="0" borderId="0" xfId="0" applyNumberFormat="1" applyFont="1"/>
    <xf numFmtId="0" fontId="5" fillId="4" borderId="0" xfId="0" applyFont="1" applyFill="1"/>
    <xf numFmtId="166" fontId="5" fillId="4" borderId="0" xfId="0" applyNumberFormat="1" applyFont="1" applyFill="1"/>
    <xf numFmtId="0" fontId="4" fillId="2" borderId="0" xfId="0" applyFont="1" applyFill="1"/>
    <xf numFmtId="43" fontId="1" fillId="0" borderId="0" xfId="3" applyFont="1" applyBorder="1"/>
    <xf numFmtId="2" fontId="4" fillId="0" borderId="1" xfId="0" applyNumberFormat="1" applyFont="1" applyBorder="1"/>
    <xf numFmtId="43" fontId="2" fillId="0" borderId="0" xfId="3" applyFont="1" applyBorder="1"/>
    <xf numFmtId="2" fontId="4" fillId="3" borderId="2" xfId="0" applyNumberFormat="1" applyFont="1" applyFill="1" applyBorder="1"/>
    <xf numFmtId="0" fontId="9" fillId="0" borderId="0" xfId="0" applyFont="1"/>
    <xf numFmtId="0" fontId="9" fillId="5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2" fontId="8" fillId="6" borderId="0" xfId="0" applyNumberFormat="1" applyFont="1" applyFill="1" applyAlignment="1">
      <alignment horizontal="right" vertical="center" wrapText="1"/>
    </xf>
    <xf numFmtId="2" fontId="8" fillId="0" borderId="0" xfId="0" applyNumberFormat="1" applyFont="1" applyAlignment="1">
      <alignment horizontal="right" vertical="center" wrapText="1"/>
    </xf>
    <xf numFmtId="2" fontId="0" fillId="0" borderId="0" xfId="0" applyNumberFormat="1"/>
    <xf numFmtId="2" fontId="4" fillId="0" borderId="2" xfId="0" applyNumberFormat="1" applyFont="1" applyBorder="1"/>
    <xf numFmtId="2" fontId="8" fillId="5" borderId="0" xfId="0" applyNumberFormat="1" applyFont="1" applyFill="1" applyAlignment="1">
      <alignment horizontal="right" vertical="center" wrapText="1"/>
    </xf>
    <xf numFmtId="2" fontId="8" fillId="0" borderId="0" xfId="0" applyNumberFormat="1" applyFont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 wrapText="1"/>
    </xf>
    <xf numFmtId="10" fontId="11" fillId="0" borderId="0" xfId="0" applyNumberFormat="1" applyFont="1"/>
    <xf numFmtId="10" fontId="11" fillId="0" borderId="0" xfId="1" applyNumberFormat="1" applyFont="1"/>
    <xf numFmtId="2" fontId="5" fillId="2" borderId="0" xfId="0" applyNumberFormat="1" applyFont="1" applyFill="1"/>
    <xf numFmtId="2" fontId="0" fillId="2" borderId="0" xfId="0" applyNumberFormat="1" applyFill="1" applyAlignment="1">
      <alignment horizontal="center"/>
    </xf>
    <xf numFmtId="165" fontId="13" fillId="7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" fillId="9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/>
    </xf>
  </cellXfs>
  <cellStyles count="4">
    <cellStyle name="Comma" xfId="3" builtinId="3"/>
    <cellStyle name="Hyperlink 2" xfId="2" xr:uid="{B27EC12D-F977-4F06-8E0B-10E23EB427CF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73673"/>
      <color rgb="FF0432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7A2C97-0E8E-4397-B5D4-0284E73099D1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o-XT1peH1TpxRJK-gW8e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4FDA-002A-45D2-A91B-DF20A4A09B7B}">
  <dimension ref="A1:R169"/>
  <sheetViews>
    <sheetView showGridLines="0" tabSelected="1" zoomScale="74" zoomScaleNormal="70" workbookViewId="0">
      <selection activeCell="Q24" sqref="Q24:R25"/>
    </sheetView>
  </sheetViews>
  <sheetFormatPr defaultColWidth="8.796875" defaultRowHeight="15.6" x14ac:dyDescent="0.3"/>
  <cols>
    <col min="1" max="1" width="4.19921875" customWidth="1"/>
    <col min="2" max="2" width="30.5" customWidth="1"/>
    <col min="3" max="3" width="10.296875" customWidth="1"/>
    <col min="7" max="7" width="13.296875" bestFit="1" customWidth="1"/>
    <col min="8" max="8" width="12.5" bestFit="1" customWidth="1"/>
    <col min="10" max="11" width="29.69921875" bestFit="1" customWidth="1"/>
  </cols>
  <sheetData>
    <row r="1" spans="1:18" ht="49.05" customHeight="1" x14ac:dyDescent="0.9">
      <c r="A1" s="44" t="s">
        <v>73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3" spans="1:18" x14ac:dyDescent="0.3">
      <c r="B3" s="46" t="s">
        <v>0</v>
      </c>
      <c r="C3" s="46"/>
      <c r="D3" s="46"/>
      <c r="E3" s="46"/>
      <c r="F3" s="46"/>
      <c r="G3" s="46"/>
      <c r="H3" s="46"/>
      <c r="J3" s="46" t="s">
        <v>1</v>
      </c>
      <c r="K3" s="46"/>
      <c r="L3" s="46"/>
      <c r="M3" s="46"/>
      <c r="N3" s="46"/>
      <c r="O3" s="46"/>
      <c r="P3" s="46"/>
    </row>
    <row r="4" spans="1:18" x14ac:dyDescent="0.3">
      <c r="B4" s="2" t="s">
        <v>43</v>
      </c>
      <c r="C4" s="5"/>
      <c r="D4" s="6" t="s">
        <v>74</v>
      </c>
      <c r="E4" s="6" t="s">
        <v>75</v>
      </c>
      <c r="F4" s="6" t="s">
        <v>76</v>
      </c>
      <c r="G4" s="6" t="s">
        <v>77</v>
      </c>
      <c r="H4" s="6" t="s">
        <v>78</v>
      </c>
      <c r="J4" s="2" t="s">
        <v>43</v>
      </c>
      <c r="K4" s="5"/>
      <c r="L4" s="6" t="s">
        <v>74</v>
      </c>
      <c r="M4" s="6" t="s">
        <v>75</v>
      </c>
      <c r="N4" s="6" t="s">
        <v>76</v>
      </c>
      <c r="O4" s="6" t="s">
        <v>77</v>
      </c>
      <c r="P4" s="6" t="s">
        <v>78</v>
      </c>
    </row>
    <row r="5" spans="1:18" x14ac:dyDescent="0.3">
      <c r="B5" t="s">
        <v>3</v>
      </c>
      <c r="C5" s="9"/>
      <c r="D5" s="33">
        <v>5427.7</v>
      </c>
      <c r="E5" s="33">
        <v>6652.52</v>
      </c>
      <c r="F5" s="33">
        <v>8814.0400000000009</v>
      </c>
      <c r="G5" s="33">
        <f>(F5*O34)+F5</f>
        <v>11105.690400000001</v>
      </c>
      <c r="H5" s="33">
        <f t="array" ref="H5">(G5*P34)+G5</f>
        <v>13882.113000000001</v>
      </c>
      <c r="J5" t="s">
        <v>4</v>
      </c>
      <c r="K5" s="32"/>
      <c r="L5" s="32">
        <v>689</v>
      </c>
      <c r="M5" s="32">
        <v>1081</v>
      </c>
      <c r="N5" s="32">
        <v>1037</v>
      </c>
      <c r="O5" s="32">
        <v>1272</v>
      </c>
      <c r="P5" s="32">
        <v>1439.1</v>
      </c>
    </row>
    <row r="6" spans="1:18" x14ac:dyDescent="0.3">
      <c r="B6" t="s">
        <v>9</v>
      </c>
      <c r="C6" s="9"/>
      <c r="D6" s="33">
        <v>-3130.61</v>
      </c>
      <c r="E6" s="33">
        <v>-3848</v>
      </c>
      <c r="F6" s="33">
        <v>-5281.95</v>
      </c>
      <c r="G6" s="33">
        <f>-(G5*O35)</f>
        <v>-6496.8288840000005</v>
      </c>
      <c r="H6" s="33">
        <f>-(H5*P35)</f>
        <v>-8051.62554</v>
      </c>
      <c r="J6" t="s">
        <v>18</v>
      </c>
      <c r="K6" s="31"/>
      <c r="L6" s="31">
        <v>341</v>
      </c>
      <c r="M6" s="31">
        <v>126</v>
      </c>
      <c r="N6" s="31">
        <v>175</v>
      </c>
      <c r="O6" s="31">
        <v>98</v>
      </c>
      <c r="P6" s="31">
        <v>44.2</v>
      </c>
    </row>
    <row r="7" spans="1:18" x14ac:dyDescent="0.3">
      <c r="B7" s="3" t="s">
        <v>11</v>
      </c>
      <c r="C7" s="10"/>
      <c r="D7" s="24">
        <f t="array" ref="D7">SUM(D5:D6)</f>
        <v>2297.0899999999997</v>
      </c>
      <c r="E7" s="24">
        <f t="array" ref="E7">SUM(E5:E6)</f>
        <v>2804.5200000000004</v>
      </c>
      <c r="F7" s="24">
        <f t="array" ref="F7">SUM(F5:F6)</f>
        <v>3532.0900000000011</v>
      </c>
      <c r="G7" s="24">
        <f t="array" ref="G7">SUM(G5:G6)</f>
        <v>4608.8615160000008</v>
      </c>
      <c r="H7" s="24">
        <f t="array" ref="H7">SUM(H5:H6)</f>
        <v>5830.4874600000012</v>
      </c>
      <c r="J7" s="27" t="s">
        <v>17</v>
      </c>
      <c r="K7" s="32"/>
      <c r="L7" s="32">
        <v>805</v>
      </c>
      <c r="M7" s="32">
        <v>865</v>
      </c>
      <c r="N7" s="32">
        <v>1544</v>
      </c>
      <c r="O7" s="32">
        <v>1483</v>
      </c>
      <c r="P7" s="32">
        <v>1656.1</v>
      </c>
      <c r="R7" s="33"/>
    </row>
    <row r="8" spans="1:18" x14ac:dyDescent="0.3">
      <c r="B8" t="s">
        <v>10</v>
      </c>
      <c r="C8" s="9"/>
      <c r="D8" s="33">
        <v>-1561.81</v>
      </c>
      <c r="E8" s="33">
        <v>-1783.84</v>
      </c>
      <c r="F8" s="33">
        <v>-1665.62</v>
      </c>
      <c r="G8" s="33">
        <f>-O36*G5</f>
        <v>-2110.0811760000001</v>
      </c>
      <c r="H8" s="33">
        <f>-P36*H5</f>
        <v>-2568.1909050000004</v>
      </c>
      <c r="J8" s="27" t="s">
        <v>71</v>
      </c>
      <c r="K8" s="32"/>
      <c r="L8" s="32">
        <v>67</v>
      </c>
      <c r="M8" s="32">
        <v>105</v>
      </c>
      <c r="N8" s="32">
        <v>193</v>
      </c>
      <c r="O8" s="32">
        <v>205</v>
      </c>
      <c r="P8" s="32">
        <v>242.4</v>
      </c>
    </row>
    <row r="9" spans="1:18" x14ac:dyDescent="0.3">
      <c r="B9" s="25" t="s">
        <v>33</v>
      </c>
      <c r="C9" s="9"/>
      <c r="D9" s="33">
        <v>-55.75</v>
      </c>
      <c r="E9" s="33">
        <v>-43.87</v>
      </c>
      <c r="F9" s="33">
        <v>-112.4</v>
      </c>
      <c r="G9" s="33">
        <f>-O37*G5</f>
        <v>-111.05690400000002</v>
      </c>
      <c r="H9" s="33">
        <f>-P37*H5</f>
        <v>-138.82113000000001</v>
      </c>
      <c r="J9" t="s">
        <v>72</v>
      </c>
      <c r="K9" s="31"/>
      <c r="L9" s="31">
        <v>1010</v>
      </c>
      <c r="M9" s="31">
        <v>836</v>
      </c>
      <c r="N9" s="31">
        <v>2874.13</v>
      </c>
      <c r="O9" s="31">
        <v>2535</v>
      </c>
      <c r="P9" s="31">
        <v>2925.6</v>
      </c>
    </row>
    <row r="10" spans="1:18" x14ac:dyDescent="0.3">
      <c r="B10" s="23" t="s">
        <v>34</v>
      </c>
      <c r="C10" s="9"/>
      <c r="D10" s="33">
        <v>175.24</v>
      </c>
      <c r="E10" s="33">
        <v>351.01</v>
      </c>
      <c r="F10" s="33">
        <v>153.09</v>
      </c>
      <c r="G10" s="33">
        <f t="array" ref="G10">G5*O38</f>
        <v>222.11380800000003</v>
      </c>
      <c r="H10" s="33">
        <f>H5*P38</f>
        <v>277.64226000000002</v>
      </c>
      <c r="J10" s="3" t="s">
        <v>19</v>
      </c>
      <c r="K10" s="24"/>
      <c r="L10" s="24">
        <f t="array" ref="L10">SUM(L5:L9)</f>
        <v>2912</v>
      </c>
      <c r="M10" s="24">
        <f>SUM(M5:M9)</f>
        <v>3013</v>
      </c>
      <c r="N10" s="24">
        <f t="array" ref="N10">SUM(N5:N9)</f>
        <v>5823.13</v>
      </c>
      <c r="O10" s="24">
        <f t="array" ref="O10">SUM(O5:O9)</f>
        <v>5593</v>
      </c>
      <c r="P10" s="24">
        <f t="array" ref="P10">SUM(P5:P9)</f>
        <v>6307.4</v>
      </c>
    </row>
    <row r="11" spans="1:18" x14ac:dyDescent="0.3">
      <c r="B11" t="s">
        <v>12</v>
      </c>
      <c r="C11" s="12"/>
      <c r="D11" s="33">
        <v>-672.24</v>
      </c>
      <c r="E11" s="33">
        <v>-796.57</v>
      </c>
      <c r="F11" s="33">
        <v>-1048.3800000000001</v>
      </c>
      <c r="G11" s="33">
        <f>-N11*O39</f>
        <v>-1006.2</v>
      </c>
      <c r="H11" s="33">
        <f>-O11*P39</f>
        <v>-1081.8600000000001</v>
      </c>
      <c r="J11" t="s">
        <v>20</v>
      </c>
      <c r="K11" s="35"/>
      <c r="L11" s="35">
        <v>5501</v>
      </c>
      <c r="M11" s="35">
        <v>6231</v>
      </c>
      <c r="N11" s="35">
        <v>7740</v>
      </c>
      <c r="O11" s="35">
        <v>8322</v>
      </c>
      <c r="P11" s="35">
        <v>9196.9</v>
      </c>
    </row>
    <row r="12" spans="1:18" x14ac:dyDescent="0.3">
      <c r="B12" s="3" t="s">
        <v>13</v>
      </c>
      <c r="C12" s="10"/>
      <c r="D12" s="24">
        <f t="array" ref="D12">SUM(D7:D11)</f>
        <v>182.52999999999975</v>
      </c>
      <c r="E12" s="24">
        <f t="array" ref="E12">SUM(E7:E11)</f>
        <v>531.25000000000057</v>
      </c>
      <c r="F12" s="24">
        <f>SUM(F7:F11)</f>
        <v>858.78000000000088</v>
      </c>
      <c r="G12" s="24">
        <f t="array" ref="G12">SUM(G7:G11)</f>
        <v>1603.6372440000007</v>
      </c>
      <c r="H12" s="24">
        <f>SUM(H7:H11)</f>
        <v>2319.2576850000009</v>
      </c>
      <c r="J12" s="25" t="s">
        <v>35</v>
      </c>
      <c r="K12" s="33"/>
      <c r="L12" s="33">
        <v>70.83</v>
      </c>
      <c r="M12" s="33">
        <v>106.9</v>
      </c>
      <c r="N12" s="33">
        <v>111.89</v>
      </c>
      <c r="O12" s="33">
        <v>98.39</v>
      </c>
      <c r="P12" s="33">
        <v>95.394000000000005</v>
      </c>
    </row>
    <row r="13" spans="1:18" x14ac:dyDescent="0.3">
      <c r="B13" t="s">
        <v>31</v>
      </c>
      <c r="C13" s="12"/>
      <c r="D13" s="33">
        <v>-123.5</v>
      </c>
      <c r="E13" s="33">
        <v>-145.88999999999999</v>
      </c>
      <c r="F13" s="33">
        <v>-178.45</v>
      </c>
      <c r="G13" s="33">
        <v>-204.23</v>
      </c>
      <c r="H13" s="33">
        <v>-231.70500000000001</v>
      </c>
      <c r="J13" s="25" t="s">
        <v>36</v>
      </c>
      <c r="K13" s="33"/>
      <c r="L13" s="33">
        <v>1003.21</v>
      </c>
      <c r="M13" s="33">
        <v>1038.0999999999999</v>
      </c>
      <c r="N13" s="33">
        <v>570</v>
      </c>
      <c r="O13" s="33">
        <v>696.67499999999995</v>
      </c>
      <c r="P13" s="33">
        <v>635.45799999999997</v>
      </c>
    </row>
    <row r="14" spans="1:18" x14ac:dyDescent="0.3">
      <c r="B14" s="3" t="s">
        <v>14</v>
      </c>
      <c r="C14" s="10"/>
      <c r="D14" s="24">
        <f t="array" ref="D14">SUM(D12:D13)</f>
        <v>59.029999999999745</v>
      </c>
      <c r="E14" s="24">
        <f t="array" ref="E14">SUM(E12:E13)</f>
        <v>385.36000000000058</v>
      </c>
      <c r="F14" s="24">
        <f t="array" ref="F14">SUM(F12:F13)</f>
        <v>680.33000000000084</v>
      </c>
      <c r="G14" s="24">
        <f t="array" ref="G14">SUM(G12:G13)</f>
        <v>1399.4072440000007</v>
      </c>
      <c r="H14" s="24">
        <f>SUM(H12:H13)</f>
        <v>2087.552685000001</v>
      </c>
      <c r="J14" s="4" t="s">
        <v>21</v>
      </c>
      <c r="K14" s="26"/>
      <c r="L14" s="26">
        <f t="array" ref="L14">SUM(L10:L13)</f>
        <v>9487.0400000000009</v>
      </c>
      <c r="M14" s="26">
        <f t="array" ref="M14">SUM(M10:M13)</f>
        <v>10389</v>
      </c>
      <c r="N14" s="26">
        <f t="array" ref="N14">SUM(N10:N13)</f>
        <v>14245.02</v>
      </c>
      <c r="O14" s="26">
        <f t="array" ref="O14">SUM(O10:O13)</f>
        <v>14710.064999999999</v>
      </c>
      <c r="P14" s="26">
        <f t="array" ref="P14">SUM(P10:P13)</f>
        <v>16235.152</v>
      </c>
    </row>
    <row r="15" spans="1:18" x14ac:dyDescent="0.3">
      <c r="B15" t="s">
        <v>15</v>
      </c>
      <c r="C15" s="9"/>
      <c r="D15" s="33">
        <v>-69.19</v>
      </c>
      <c r="E15" s="33">
        <v>-88.01</v>
      </c>
      <c r="F15" s="33">
        <v>-179.38</v>
      </c>
      <c r="G15" s="33">
        <f>-G14*O40</f>
        <v>-349.85181100000017</v>
      </c>
      <c r="H15" s="33">
        <f>-H14*P40</f>
        <v>-521.88817125000025</v>
      </c>
      <c r="J15" t="s">
        <v>38</v>
      </c>
      <c r="K15" s="35"/>
      <c r="L15" s="35">
        <v>107</v>
      </c>
      <c r="M15" s="35">
        <v>107</v>
      </c>
      <c r="N15" s="35">
        <v>113</v>
      </c>
      <c r="O15" s="35">
        <v>119</v>
      </c>
      <c r="P15" s="35">
        <v>123.6</v>
      </c>
    </row>
    <row r="16" spans="1:18" x14ac:dyDescent="0.3">
      <c r="B16" s="4" t="s">
        <v>16</v>
      </c>
      <c r="C16" s="11"/>
      <c r="D16" s="26">
        <f t="array" ref="D16">SUM(D14:D15)</f>
        <v>-10.160000000000252</v>
      </c>
      <c r="E16" s="26">
        <f t="array" ref="E16">SUM(E14:E15)</f>
        <v>297.35000000000059</v>
      </c>
      <c r="F16" s="26">
        <f t="array" ref="F16">SUM(F14:F15)</f>
        <v>500.95000000000084</v>
      </c>
      <c r="G16" s="26">
        <f t="array" ref="G16">SUM(G14:G15)</f>
        <v>1049.5554330000004</v>
      </c>
      <c r="H16" s="26">
        <f t="array" ref="H16">SUM(H14:H15)</f>
        <v>1565.6645137500009</v>
      </c>
      <c r="J16" t="s">
        <v>37</v>
      </c>
      <c r="K16" s="35"/>
      <c r="L16" s="35">
        <v>516</v>
      </c>
      <c r="M16" s="35">
        <v>740</v>
      </c>
      <c r="N16" s="35">
        <v>952</v>
      </c>
      <c r="O16" s="35">
        <v>1034</v>
      </c>
      <c r="P16" s="35">
        <v>1168.4000000000001</v>
      </c>
    </row>
    <row r="17" spans="2:16" x14ac:dyDescent="0.3">
      <c r="J17" t="s">
        <v>39</v>
      </c>
      <c r="K17" s="35"/>
      <c r="L17" s="35">
        <v>1039</v>
      </c>
      <c r="M17" s="35">
        <v>871</v>
      </c>
      <c r="N17" s="35">
        <v>1344</v>
      </c>
      <c r="O17" s="35">
        <v>580.5</v>
      </c>
      <c r="P17" s="35">
        <v>247.5</v>
      </c>
    </row>
    <row r="18" spans="2:16" x14ac:dyDescent="0.3">
      <c r="B18" s="46" t="s">
        <v>2</v>
      </c>
      <c r="C18" s="46"/>
      <c r="D18" s="46"/>
      <c r="E18" s="46"/>
      <c r="F18" s="46"/>
      <c r="G18" s="47"/>
      <c r="H18" s="47"/>
      <c r="J18" s="3" t="s">
        <v>22</v>
      </c>
      <c r="K18" s="24"/>
      <c r="L18" s="24">
        <f t="array" ref="L18">SUM(L15:L17)</f>
        <v>1662</v>
      </c>
      <c r="M18" s="24">
        <f t="array" ref="M18">SUM(M15:M17)</f>
        <v>1718</v>
      </c>
      <c r="N18" s="24">
        <f t="array" ref="N18">SUM(N15:N17)</f>
        <v>2409</v>
      </c>
      <c r="O18" s="24">
        <f t="array" ref="O18">SUM(O15:O17)</f>
        <v>1733.5</v>
      </c>
      <c r="P18" s="24">
        <f t="array" ref="P18">SUM(P15:P17)</f>
        <v>1539.5</v>
      </c>
    </row>
    <row r="19" spans="2:16" ht="16.2" thickBot="1" x14ac:dyDescent="0.35">
      <c r="B19" s="41" t="s">
        <v>43</v>
      </c>
      <c r="C19" s="42"/>
      <c r="D19" s="43" t="s">
        <v>74</v>
      </c>
      <c r="E19" s="43" t="s">
        <v>75</v>
      </c>
      <c r="F19" s="43" t="s">
        <v>76</v>
      </c>
      <c r="G19" s="43" t="s">
        <v>77</v>
      </c>
      <c r="H19" s="43" t="s">
        <v>78</v>
      </c>
      <c r="K19" s="33"/>
      <c r="L19" s="33"/>
      <c r="M19" s="33"/>
      <c r="N19" s="33"/>
      <c r="O19" s="33"/>
      <c r="P19" s="33"/>
    </row>
    <row r="20" spans="2:16" ht="16.2" thickBot="1" x14ac:dyDescent="0.35">
      <c r="B20" t="s">
        <v>63</v>
      </c>
      <c r="C20" s="33"/>
      <c r="D20" s="38">
        <v>711</v>
      </c>
      <c r="E20" s="38">
        <v>1028</v>
      </c>
      <c r="F20" s="38">
        <v>1819</v>
      </c>
      <c r="G20" s="33">
        <v>2192.5</v>
      </c>
      <c r="H20" s="38">
        <v>2685.6</v>
      </c>
      <c r="J20" t="s">
        <v>40</v>
      </c>
      <c r="K20" s="36"/>
      <c r="L20" s="36">
        <v>2343</v>
      </c>
      <c r="M20" s="36">
        <v>2740</v>
      </c>
      <c r="N20" s="36">
        <v>3098</v>
      </c>
      <c r="O20" s="36">
        <v>4000</v>
      </c>
      <c r="P20" s="36">
        <v>4688.6000000000004</v>
      </c>
    </row>
    <row r="21" spans="2:16" x14ac:dyDescent="0.3">
      <c r="B21" s="27" t="s">
        <v>44</v>
      </c>
      <c r="C21" s="32"/>
      <c r="D21" s="32">
        <v>-95</v>
      </c>
      <c r="E21" s="32">
        <v>227</v>
      </c>
      <c r="F21" s="32">
        <v>-40</v>
      </c>
      <c r="G21" s="32">
        <v>106</v>
      </c>
      <c r="H21" s="32">
        <v>145.69999999999999</v>
      </c>
      <c r="J21" s="7" t="s">
        <v>23</v>
      </c>
      <c r="K21" s="37"/>
      <c r="L21" s="37">
        <f t="array" ref="L21">SUM(L18:L20)</f>
        <v>4005</v>
      </c>
      <c r="M21" s="37">
        <f t="array" ref="M21">SUM(M18:M20)</f>
        <v>4458</v>
      </c>
      <c r="N21" s="37">
        <f t="array" ref="N21">SUM(N18:N20)</f>
        <v>5507</v>
      </c>
      <c r="O21" s="37">
        <f t="array" ref="O21">SUM(O18:O20)</f>
        <v>5733.5</v>
      </c>
      <c r="P21" s="37">
        <f t="array" ref="P21">SUM(P18:P20)</f>
        <v>6228.1</v>
      </c>
    </row>
    <row r="22" spans="2:16" x14ac:dyDescent="0.3">
      <c r="B22" s="27" t="s">
        <v>4</v>
      </c>
      <c r="C22" s="32"/>
      <c r="D22" s="32">
        <v>-115</v>
      </c>
      <c r="E22" s="32">
        <v>-403</v>
      </c>
      <c r="F22" s="32">
        <v>92</v>
      </c>
      <c r="G22" s="32">
        <v>6</v>
      </c>
      <c r="H22" s="32">
        <v>74.099999999999994</v>
      </c>
      <c r="K22" s="33"/>
      <c r="L22" s="33"/>
      <c r="M22" s="33"/>
      <c r="N22" s="33"/>
      <c r="O22" s="33"/>
      <c r="P22" s="33"/>
    </row>
    <row r="23" spans="2:16" x14ac:dyDescent="0.3">
      <c r="B23" s="27" t="s">
        <v>45</v>
      </c>
      <c r="C23" s="32"/>
      <c r="D23" s="32">
        <v>125</v>
      </c>
      <c r="E23" s="32">
        <v>22</v>
      </c>
      <c r="F23" s="32">
        <v>151</v>
      </c>
      <c r="G23" s="32">
        <v>84</v>
      </c>
      <c r="H23" s="32">
        <v>72.2</v>
      </c>
      <c r="J23" t="s">
        <v>42</v>
      </c>
      <c r="K23" s="36"/>
      <c r="L23" s="36">
        <v>15</v>
      </c>
      <c r="M23" s="36">
        <v>154</v>
      </c>
      <c r="N23" s="36">
        <v>347</v>
      </c>
      <c r="O23" s="36">
        <v>416.5</v>
      </c>
      <c r="P23" s="36">
        <v>530</v>
      </c>
    </row>
    <row r="24" spans="2:16" x14ac:dyDescent="0.3">
      <c r="B24" s="27" t="s">
        <v>46</v>
      </c>
      <c r="C24" s="32"/>
      <c r="D24" s="32">
        <v>-80</v>
      </c>
      <c r="E24" s="32">
        <v>462</v>
      </c>
      <c r="F24" s="32">
        <v>-105</v>
      </c>
      <c r="G24" s="32">
        <v>137.5</v>
      </c>
      <c r="H24" s="32">
        <v>167.1</v>
      </c>
      <c r="J24" t="s">
        <v>41</v>
      </c>
      <c r="K24" s="35"/>
      <c r="L24" s="35">
        <v>5467</v>
      </c>
      <c r="M24" s="35">
        <v>5777</v>
      </c>
      <c r="N24" s="35">
        <v>8391</v>
      </c>
      <c r="O24" s="35">
        <v>8560</v>
      </c>
      <c r="P24" s="35">
        <v>9477</v>
      </c>
    </row>
    <row r="25" spans="2:16" x14ac:dyDescent="0.3">
      <c r="B25" s="27" t="s">
        <v>47</v>
      </c>
      <c r="C25" s="32"/>
      <c r="D25" s="32">
        <v>-58</v>
      </c>
      <c r="E25" s="32">
        <v>-106</v>
      </c>
      <c r="F25" s="32">
        <v>-247</v>
      </c>
      <c r="G25" s="32">
        <v>-288</v>
      </c>
      <c r="H25" s="32">
        <v>-359.7</v>
      </c>
      <c r="J25" s="7" t="s">
        <v>24</v>
      </c>
      <c r="K25" s="34"/>
      <c r="L25" s="34">
        <f t="array" ref="L25">SUM(L23:L24)</f>
        <v>5482</v>
      </c>
      <c r="M25" s="34">
        <f t="array" ref="M25">SUM(M23:M24)</f>
        <v>5931</v>
      </c>
      <c r="N25" s="34">
        <f t="array" ref="N25">SUM(N23:N24)</f>
        <v>8738</v>
      </c>
      <c r="O25" s="34">
        <f t="array" ref="O25">SUM(O23:O24)</f>
        <v>8976.5</v>
      </c>
      <c r="P25" s="34">
        <f t="array" ref="P25">SUM(P23:P24)</f>
        <v>10007</v>
      </c>
    </row>
    <row r="26" spans="2:16" x14ac:dyDescent="0.3">
      <c r="B26" s="27" t="s">
        <v>48</v>
      </c>
      <c r="C26" s="32"/>
      <c r="D26" s="32">
        <v>0</v>
      </c>
      <c r="E26" s="32">
        <v>0</v>
      </c>
      <c r="F26" s="32">
        <v>0</v>
      </c>
      <c r="G26" s="32">
        <v>0</v>
      </c>
      <c r="H26" s="32">
        <v>0</v>
      </c>
      <c r="K26" s="33"/>
      <c r="L26" s="33"/>
      <c r="M26" s="33"/>
      <c r="N26" s="33"/>
      <c r="O26" s="33"/>
      <c r="P26" s="33"/>
    </row>
    <row r="27" spans="2:16" x14ac:dyDescent="0.3">
      <c r="B27" s="7" t="s">
        <v>5</v>
      </c>
      <c r="C27" s="34"/>
      <c r="D27" s="34">
        <f t="array" ref="D27">SUM(D20:D26)</f>
        <v>488</v>
      </c>
      <c r="E27" s="34">
        <f t="array" ref="E27">SUM(E20:E26)</f>
        <v>1230</v>
      </c>
      <c r="F27" s="34">
        <f t="array" ref="F27">SUM(F20:F26)</f>
        <v>1670</v>
      </c>
      <c r="G27" s="34">
        <f t="array" ref="G27">SUM(G20:G26)</f>
        <v>2238</v>
      </c>
      <c r="H27" s="34">
        <f t="array" ref="H27">SUM(H20:H26)</f>
        <v>2784.9999999999995</v>
      </c>
      <c r="J27" s="4" t="s">
        <v>25</v>
      </c>
      <c r="K27" s="26"/>
      <c r="L27" s="26">
        <f t="array" ref="L27">L21+L25</f>
        <v>9487</v>
      </c>
      <c r="M27" s="26">
        <f t="array" ref="M27">M21+M25</f>
        <v>10389</v>
      </c>
      <c r="N27" s="26">
        <f t="array" ref="N27">N21+N25</f>
        <v>14245</v>
      </c>
      <c r="O27" s="26">
        <f t="array" ref="O27">O21+O25</f>
        <v>14710</v>
      </c>
      <c r="P27" s="26">
        <f t="array" ref="P27">P21+P25</f>
        <v>16235.1</v>
      </c>
    </row>
    <row r="28" spans="2:16" x14ac:dyDescent="0.3">
      <c r="B28" s="28" t="s">
        <v>49</v>
      </c>
      <c r="C28" s="35"/>
      <c r="D28" s="35">
        <v>-438</v>
      </c>
      <c r="E28" s="35">
        <v>-427</v>
      </c>
      <c r="F28" s="35">
        <v>-828</v>
      </c>
      <c r="G28" s="35">
        <v>-835</v>
      </c>
      <c r="H28" s="35">
        <v>-958.4</v>
      </c>
    </row>
    <row r="29" spans="2:16" x14ac:dyDescent="0.3">
      <c r="B29" s="28" t="s">
        <v>50</v>
      </c>
      <c r="C29" s="35"/>
      <c r="D29" s="35">
        <v>5</v>
      </c>
      <c r="E29" s="35">
        <v>1</v>
      </c>
      <c r="F29" s="35">
        <v>5</v>
      </c>
      <c r="G29" s="35">
        <v>5</v>
      </c>
      <c r="H29" s="35">
        <v>5.8</v>
      </c>
      <c r="J29" s="20" t="s">
        <v>26</v>
      </c>
      <c r="K29" s="21"/>
      <c r="L29" s="21">
        <f>L14-L27</f>
        <v>4.0000000000873115E-2</v>
      </c>
      <c r="M29" s="21">
        <f>M14-M27</f>
        <v>0</v>
      </c>
      <c r="N29" s="21">
        <f>N14-N27</f>
        <v>2.0000000000436557E-2</v>
      </c>
      <c r="O29" s="21">
        <f>O14-O27</f>
        <v>6.4999999998690328E-2</v>
      </c>
      <c r="P29" s="21">
        <f>P14-P27</f>
        <v>5.1999999999679858E-2</v>
      </c>
    </row>
    <row r="30" spans="2:16" x14ac:dyDescent="0.3">
      <c r="B30" s="28" t="s">
        <v>51</v>
      </c>
      <c r="C30" s="35"/>
      <c r="D30" s="35">
        <v>-514</v>
      </c>
      <c r="E30" s="35">
        <v>-839</v>
      </c>
      <c r="F30" s="35">
        <v>-582</v>
      </c>
      <c r="G30" s="35">
        <v>-1001.5</v>
      </c>
      <c r="H30" s="35">
        <v>-1208.5999999999999</v>
      </c>
    </row>
    <row r="31" spans="2:16" x14ac:dyDescent="0.3">
      <c r="B31" s="28" t="s">
        <v>52</v>
      </c>
      <c r="C31" s="35"/>
      <c r="D31" s="35">
        <v>369</v>
      </c>
      <c r="E31" s="35">
        <v>882</v>
      </c>
      <c r="F31" s="35">
        <v>1108</v>
      </c>
      <c r="G31" s="35">
        <v>1549</v>
      </c>
      <c r="H31" s="35">
        <v>1932.7</v>
      </c>
    </row>
    <row r="32" spans="2:16" x14ac:dyDescent="0.3">
      <c r="B32" s="28" t="s">
        <v>53</v>
      </c>
      <c r="C32" s="35"/>
      <c r="D32" s="35">
        <v>104</v>
      </c>
      <c r="E32" s="35">
        <v>64</v>
      </c>
      <c r="F32" s="35">
        <v>58</v>
      </c>
      <c r="G32" s="35">
        <v>74.5</v>
      </c>
      <c r="H32" s="35">
        <v>78.599999999999994</v>
      </c>
      <c r="J32" s="46" t="s">
        <v>27</v>
      </c>
      <c r="K32" s="46"/>
      <c r="L32" s="43" t="s">
        <v>74</v>
      </c>
      <c r="M32" s="43" t="s">
        <v>75</v>
      </c>
      <c r="N32" s="43" t="s">
        <v>76</v>
      </c>
      <c r="O32" s="43" t="s">
        <v>77</v>
      </c>
      <c r="P32" s="43" t="s">
        <v>78</v>
      </c>
    </row>
    <row r="33" spans="2:16" x14ac:dyDescent="0.3">
      <c r="B33" s="28" t="s">
        <v>54</v>
      </c>
      <c r="C33" s="35"/>
      <c r="D33" s="35">
        <v>-7</v>
      </c>
      <c r="E33" s="35">
        <v>-133</v>
      </c>
      <c r="F33" s="35">
        <v>-421</v>
      </c>
      <c r="G33" s="35">
        <v>-487.5</v>
      </c>
      <c r="H33" s="35">
        <v>-626.4</v>
      </c>
      <c r="J33" s="22" t="s">
        <v>28</v>
      </c>
      <c r="K33" s="8"/>
      <c r="L33" s="8"/>
      <c r="M33" s="8"/>
      <c r="N33" s="8"/>
      <c r="O33" s="8"/>
      <c r="P33" s="8"/>
    </row>
    <row r="34" spans="2:16" x14ac:dyDescent="0.3">
      <c r="B34" s="28" t="s">
        <v>55</v>
      </c>
      <c r="C34" s="35"/>
      <c r="D34" s="35">
        <v>-11</v>
      </c>
      <c r="E34" s="35">
        <v>-5</v>
      </c>
      <c r="F34" s="35">
        <v>-44</v>
      </c>
      <c r="G34" s="35">
        <v>-46.5</v>
      </c>
      <c r="H34" s="35">
        <v>-59.1</v>
      </c>
      <c r="J34" t="s">
        <v>64</v>
      </c>
      <c r="K34" s="19"/>
      <c r="L34" s="39"/>
      <c r="M34" s="39">
        <v>0.22600000000000001</v>
      </c>
      <c r="N34" s="39">
        <v>0.32500000000000001</v>
      </c>
      <c r="O34" s="39">
        <v>0.26</v>
      </c>
      <c r="P34" s="39">
        <v>0.25</v>
      </c>
    </row>
    <row r="35" spans="2:16" x14ac:dyDescent="0.3">
      <c r="B35" s="28" t="s">
        <v>56</v>
      </c>
      <c r="C35" s="35"/>
      <c r="D35" s="35">
        <v>654</v>
      </c>
      <c r="E35" s="35">
        <v>194</v>
      </c>
      <c r="F35" s="35">
        <v>-1847</v>
      </c>
      <c r="G35" s="35">
        <v>-647.5</v>
      </c>
      <c r="H35" s="35">
        <v>-586.1</v>
      </c>
      <c r="J35" t="s">
        <v>65</v>
      </c>
      <c r="L35" s="39">
        <v>0.57699999999999996</v>
      </c>
      <c r="M35" s="39">
        <v>0.57799999999999996</v>
      </c>
      <c r="N35" s="39">
        <v>0.59899999999999998</v>
      </c>
      <c r="O35" s="39">
        <v>0.58499999999999996</v>
      </c>
      <c r="P35" s="39">
        <v>0.57999999999999996</v>
      </c>
    </row>
    <row r="36" spans="2:16" x14ac:dyDescent="0.3">
      <c r="B36" s="7" t="s">
        <v>6</v>
      </c>
      <c r="C36" s="34"/>
      <c r="D36" s="34">
        <f t="array" ref="D36">SUM(D28:D35)</f>
        <v>162</v>
      </c>
      <c r="E36" s="34">
        <f t="array" ref="E36">SUM(E28:E35)</f>
        <v>-263</v>
      </c>
      <c r="F36" s="34">
        <f t="array" ref="F36">SUM(F28:F35)</f>
        <v>-2551</v>
      </c>
      <c r="G36" s="34">
        <f t="array" ref="G36">SUM(G28:G35)</f>
        <v>-1389.5</v>
      </c>
      <c r="H36" s="34">
        <f t="array" ref="H36">SUM(H28:H35)</f>
        <v>-1421.4999999999998</v>
      </c>
      <c r="J36" t="s">
        <v>66</v>
      </c>
      <c r="L36" s="39">
        <v>0.28799999999999998</v>
      </c>
      <c r="M36" s="39">
        <v>0.26800000000000002</v>
      </c>
      <c r="N36" s="39">
        <v>0.189</v>
      </c>
      <c r="O36" s="39">
        <v>0.19</v>
      </c>
      <c r="P36" s="39">
        <v>0.185</v>
      </c>
    </row>
    <row r="37" spans="2:16" x14ac:dyDescent="0.3">
      <c r="B37" s="29" t="s">
        <v>57</v>
      </c>
      <c r="C37" s="31"/>
      <c r="D37" s="31">
        <v>224</v>
      </c>
      <c r="E37" s="31">
        <v>160</v>
      </c>
      <c r="F37" s="31">
        <v>2168</v>
      </c>
      <c r="G37" s="31">
        <v>968.5</v>
      </c>
      <c r="H37" s="31">
        <v>844.8</v>
      </c>
      <c r="J37" t="s">
        <v>67</v>
      </c>
      <c r="L37" s="40">
        <v>0.01</v>
      </c>
      <c r="M37" s="40">
        <v>7.0000000000000001E-3</v>
      </c>
      <c r="N37" s="40">
        <v>1.2999999999999999E-2</v>
      </c>
      <c r="O37" s="40">
        <v>0.01</v>
      </c>
      <c r="P37" s="40">
        <v>0.01</v>
      </c>
    </row>
    <row r="38" spans="2:16" x14ac:dyDescent="0.3">
      <c r="B38" s="29" t="s">
        <v>58</v>
      </c>
      <c r="C38" s="31"/>
      <c r="D38" s="31">
        <v>119</v>
      </c>
      <c r="E38" s="31">
        <v>108</v>
      </c>
      <c r="F38" s="31">
        <v>43</v>
      </c>
      <c r="G38" s="31">
        <v>-229.5</v>
      </c>
      <c r="H38" s="31">
        <v>-413.6</v>
      </c>
      <c r="J38" t="s">
        <v>68</v>
      </c>
      <c r="L38" s="40">
        <v>3.2000000000000001E-2</v>
      </c>
      <c r="M38" s="40">
        <v>5.2999999999999999E-2</v>
      </c>
      <c r="N38" s="39">
        <v>1.7000000000000001E-2</v>
      </c>
      <c r="O38" s="39">
        <v>0.02</v>
      </c>
      <c r="P38" s="39">
        <v>0.02</v>
      </c>
    </row>
    <row r="39" spans="2:16" x14ac:dyDescent="0.3">
      <c r="B39" s="29" t="s">
        <v>59</v>
      </c>
      <c r="C39" s="31"/>
      <c r="D39" s="31">
        <v>-549</v>
      </c>
      <c r="E39" s="31">
        <v>-191</v>
      </c>
      <c r="F39" s="31">
        <v>-172</v>
      </c>
      <c r="G39" s="31">
        <v>-217.5</v>
      </c>
      <c r="H39" s="31">
        <v>-203.3</v>
      </c>
      <c r="J39" t="s">
        <v>69</v>
      </c>
      <c r="L39" s="40">
        <v>0.122</v>
      </c>
      <c r="M39" s="39">
        <v>0.128</v>
      </c>
      <c r="N39" s="39">
        <v>0.13500000000000001</v>
      </c>
      <c r="O39" s="39">
        <v>0.13</v>
      </c>
      <c r="P39" s="39">
        <v>0.13</v>
      </c>
    </row>
    <row r="40" spans="2:16" x14ac:dyDescent="0.3">
      <c r="B40" s="29" t="s">
        <v>60</v>
      </c>
      <c r="C40" s="31"/>
      <c r="D40" s="31">
        <v>-118</v>
      </c>
      <c r="E40" s="31">
        <v>-138</v>
      </c>
      <c r="F40" s="31">
        <v>-173</v>
      </c>
      <c r="G40" s="31">
        <v>-205</v>
      </c>
      <c r="H40" s="31">
        <v>-236.7</v>
      </c>
      <c r="J40" t="s">
        <v>70</v>
      </c>
      <c r="K40" s="16"/>
      <c r="L40" s="39">
        <v>1.1719999999999999</v>
      </c>
      <c r="M40" s="39">
        <v>0.22800000000000001</v>
      </c>
      <c r="N40" s="39">
        <v>0.26400000000000001</v>
      </c>
      <c r="O40" s="39">
        <v>0.25</v>
      </c>
      <c r="P40" s="39">
        <v>0.25</v>
      </c>
    </row>
    <row r="41" spans="2:16" x14ac:dyDescent="0.3">
      <c r="B41" s="29" t="s">
        <v>61</v>
      </c>
      <c r="C41" s="31"/>
      <c r="D41" s="31">
        <v>-389</v>
      </c>
      <c r="E41" s="31">
        <v>-469</v>
      </c>
      <c r="F41" s="31">
        <v>-620</v>
      </c>
      <c r="G41" s="31">
        <v>-724.5</v>
      </c>
      <c r="H41" s="31">
        <v>-840.5</v>
      </c>
    </row>
    <row r="42" spans="2:16" x14ac:dyDescent="0.3">
      <c r="B42" s="29" t="s">
        <v>62</v>
      </c>
      <c r="C42" s="31"/>
      <c r="D42" s="31">
        <v>-9</v>
      </c>
      <c r="E42" s="31">
        <v>-4</v>
      </c>
      <c r="F42" s="31">
        <v>-46</v>
      </c>
      <c r="G42" s="31">
        <v>-48</v>
      </c>
      <c r="H42" s="31">
        <v>-61.3</v>
      </c>
    </row>
    <row r="43" spans="2:16" x14ac:dyDescent="0.3">
      <c r="B43" s="7" t="s">
        <v>7</v>
      </c>
      <c r="C43" s="34"/>
      <c r="D43" s="34">
        <f t="array" ref="D43">SUM(D37:D42)</f>
        <v>-722</v>
      </c>
      <c r="E43" s="34">
        <f t="array" ref="E43">SUM(E37:E42)</f>
        <v>-534</v>
      </c>
      <c r="F43" s="34">
        <f t="array" ref="F43">SUM(F37:F42)</f>
        <v>1200</v>
      </c>
      <c r="G43" s="34">
        <f t="array" ref="G43">SUM(G37:G42)</f>
        <v>-456</v>
      </c>
      <c r="H43" s="34">
        <f t="array" ref="H43">SUM(H37:H42)</f>
        <v>-910.6</v>
      </c>
    </row>
    <row r="44" spans="2:16" x14ac:dyDescent="0.3">
      <c r="B44" s="29"/>
      <c r="C44" s="33"/>
      <c r="D44" s="33"/>
      <c r="E44" s="33"/>
      <c r="F44" s="33"/>
      <c r="G44" s="33"/>
      <c r="H44" s="33"/>
    </row>
    <row r="45" spans="2:16" x14ac:dyDescent="0.3">
      <c r="B45" t="s">
        <v>30</v>
      </c>
      <c r="C45" s="33"/>
      <c r="D45" s="31">
        <v>688</v>
      </c>
      <c r="E45" s="31">
        <v>1081</v>
      </c>
      <c r="F45" s="31">
        <v>1037</v>
      </c>
      <c r="G45" s="31">
        <v>1284.3333333333301</v>
      </c>
      <c r="H45" s="31">
        <v>1458.8333333333301</v>
      </c>
    </row>
    <row r="46" spans="2:16" x14ac:dyDescent="0.3">
      <c r="B46" s="4" t="s">
        <v>8</v>
      </c>
      <c r="C46" s="26"/>
      <c r="D46" s="26">
        <f>D27+D36+D43</f>
        <v>-72</v>
      </c>
      <c r="E46" s="26">
        <f t="shared" ref="E46:F46" si="0">E27+E36+E43</f>
        <v>433</v>
      </c>
      <c r="F46" s="26">
        <f t="shared" si="0"/>
        <v>319</v>
      </c>
      <c r="G46" s="26">
        <f>G27+G36+G43</f>
        <v>392.5</v>
      </c>
      <c r="H46" s="26">
        <f>H27+H36+H43</f>
        <v>452.89999999999975</v>
      </c>
    </row>
    <row r="47" spans="2:16" x14ac:dyDescent="0.3">
      <c r="B47" t="s">
        <v>29</v>
      </c>
      <c r="C47" s="33"/>
      <c r="D47" s="33">
        <f t="array" ref="D47">SUM(D45:D46)</f>
        <v>616</v>
      </c>
      <c r="E47" s="33">
        <f t="array" ref="E47">SUM(E45:E46)</f>
        <v>1514</v>
      </c>
      <c r="F47" s="33">
        <f t="array" ref="F47">SUM(F45:F46)</f>
        <v>1356</v>
      </c>
      <c r="G47" s="33">
        <f t="array" ref="G47">SUM(G45:G46)</f>
        <v>1676.8333333333301</v>
      </c>
      <c r="H47" s="33">
        <f t="array" ref="H47">SUM(H45:H46)</f>
        <v>1911.7333333333299</v>
      </c>
    </row>
    <row r="48" spans="2:16" ht="15" customHeight="1" x14ac:dyDescent="0.3"/>
    <row r="49" ht="15" customHeight="1" x14ac:dyDescent="0.3"/>
    <row r="75" spans="2:8" x14ac:dyDescent="0.3">
      <c r="B75" s="1"/>
      <c r="C75" s="18"/>
      <c r="D75" s="18"/>
      <c r="E75" s="18"/>
      <c r="F75" s="18"/>
      <c r="G75" s="18"/>
      <c r="H75" s="18"/>
    </row>
    <row r="84" spans="2:9" x14ac:dyDescent="0.3">
      <c r="I84" s="16"/>
    </row>
    <row r="86" spans="2:9" x14ac:dyDescent="0.3">
      <c r="C86" s="12"/>
      <c r="D86" s="9"/>
      <c r="E86" s="9"/>
      <c r="F86" s="9"/>
      <c r="G86" s="9"/>
      <c r="H86" s="9"/>
    </row>
    <row r="87" spans="2:9" x14ac:dyDescent="0.3">
      <c r="C87" s="12"/>
      <c r="D87" s="9"/>
      <c r="E87" s="9"/>
      <c r="F87" s="9"/>
      <c r="G87" s="9"/>
      <c r="H87" s="9"/>
    </row>
    <row r="89" spans="2:9" x14ac:dyDescent="0.3">
      <c r="B89" s="1"/>
    </row>
    <row r="90" spans="2:9" x14ac:dyDescent="0.3">
      <c r="D90" s="14"/>
      <c r="E90" s="15"/>
      <c r="F90" s="15"/>
      <c r="G90" s="15"/>
      <c r="H90" s="15"/>
    </row>
    <row r="91" spans="2:9" x14ac:dyDescent="0.3">
      <c r="D91" s="14"/>
      <c r="E91" s="14"/>
      <c r="F91" s="14"/>
      <c r="G91" s="14"/>
      <c r="H91" s="14"/>
    </row>
    <row r="92" spans="2:9" x14ac:dyDescent="0.3">
      <c r="D92" s="14"/>
      <c r="E92" s="15"/>
      <c r="F92" s="15"/>
      <c r="G92" s="15"/>
      <c r="H92" s="15"/>
    </row>
    <row r="94" spans="2:9" x14ac:dyDescent="0.3">
      <c r="C94" s="12"/>
      <c r="D94" s="12"/>
      <c r="E94" s="12"/>
      <c r="F94" s="12"/>
      <c r="G94" s="12"/>
      <c r="H94" s="12"/>
    </row>
    <row r="95" spans="2:9" x14ac:dyDescent="0.3">
      <c r="C95" s="17"/>
      <c r="D95" s="17"/>
      <c r="E95" s="17"/>
      <c r="F95" s="17"/>
      <c r="G95" s="17"/>
      <c r="H95" s="17"/>
    </row>
    <row r="96" spans="2:9" x14ac:dyDescent="0.3">
      <c r="C96" s="9"/>
      <c r="D96" s="9"/>
      <c r="E96" s="9"/>
      <c r="F96" s="9"/>
      <c r="G96" s="9"/>
      <c r="H96" s="9"/>
    </row>
    <row r="97" spans="2:8" x14ac:dyDescent="0.3">
      <c r="B97" s="1"/>
      <c r="C97" s="18"/>
      <c r="D97" s="18"/>
      <c r="E97" s="18"/>
      <c r="F97" s="18"/>
      <c r="G97" s="18"/>
      <c r="H97" s="18"/>
    </row>
    <row r="98" spans="2:8" x14ac:dyDescent="0.3">
      <c r="B98" s="30"/>
      <c r="C98" s="30"/>
      <c r="D98" s="30"/>
      <c r="E98" s="30"/>
      <c r="F98" s="30"/>
      <c r="G98" s="30"/>
      <c r="H98" s="30"/>
    </row>
    <row r="99" spans="2:8" x14ac:dyDescent="0.3">
      <c r="B99" s="1"/>
    </row>
    <row r="100" spans="2:8" x14ac:dyDescent="0.3">
      <c r="D100" s="12"/>
      <c r="E100" s="12"/>
      <c r="F100" s="12"/>
      <c r="G100" s="12"/>
      <c r="H100" s="12"/>
    </row>
    <row r="102" spans="2:8" x14ac:dyDescent="0.3">
      <c r="C102" s="13"/>
    </row>
    <row r="103" spans="2:8" x14ac:dyDescent="0.3">
      <c r="C103" s="13"/>
    </row>
    <row r="104" spans="2:8" x14ac:dyDescent="0.3">
      <c r="C104" s="9"/>
    </row>
    <row r="106" spans="2:8" x14ac:dyDescent="0.3">
      <c r="C106" s="1"/>
      <c r="D106" s="1"/>
      <c r="E106" s="1"/>
      <c r="F106" s="1"/>
      <c r="G106" s="1"/>
      <c r="H106" s="1"/>
    </row>
    <row r="107" spans="2:8" x14ac:dyDescent="0.3">
      <c r="C107" s="9"/>
      <c r="D107" s="9"/>
      <c r="E107" s="9"/>
      <c r="F107" s="9"/>
      <c r="G107" s="9"/>
      <c r="H107" s="9"/>
    </row>
    <row r="108" spans="2:8" x14ac:dyDescent="0.3">
      <c r="C108" s="9"/>
      <c r="D108" s="9"/>
      <c r="E108" s="9"/>
      <c r="F108" s="9"/>
      <c r="G108" s="9"/>
      <c r="H108" s="9"/>
    </row>
    <row r="109" spans="2:8" x14ac:dyDescent="0.3">
      <c r="C109" s="9"/>
      <c r="D109" s="9"/>
      <c r="E109" s="9"/>
      <c r="F109" s="9"/>
      <c r="G109" s="9"/>
      <c r="H109" s="9"/>
    </row>
    <row r="110" spans="2:8" x14ac:dyDescent="0.3">
      <c r="C110" s="9"/>
      <c r="D110" s="9"/>
      <c r="E110" s="9"/>
      <c r="F110" s="9"/>
      <c r="G110" s="9"/>
      <c r="H110" s="9"/>
    </row>
    <row r="111" spans="2:8" x14ac:dyDescent="0.3">
      <c r="C111" s="9"/>
      <c r="D111" s="9"/>
      <c r="E111" s="9"/>
      <c r="F111" s="9"/>
      <c r="G111" s="9"/>
      <c r="H111" s="9"/>
    </row>
    <row r="113" spans="2:8" x14ac:dyDescent="0.3">
      <c r="D113" s="9"/>
      <c r="E113" s="9"/>
      <c r="F113" s="9"/>
      <c r="G113" s="9"/>
      <c r="H113" s="9"/>
    </row>
    <row r="114" spans="2:8" x14ac:dyDescent="0.3">
      <c r="D114" s="9"/>
      <c r="E114" s="9"/>
      <c r="F114" s="9"/>
      <c r="G114" s="9"/>
      <c r="H114" s="9"/>
    </row>
    <row r="116" spans="2:8" x14ac:dyDescent="0.3">
      <c r="D116" s="9"/>
      <c r="E116" s="9"/>
      <c r="F116" s="9"/>
      <c r="G116" s="9"/>
      <c r="H116" s="9"/>
    </row>
    <row r="117" spans="2:8" x14ac:dyDescent="0.3">
      <c r="D117" s="9"/>
      <c r="E117" s="9"/>
      <c r="F117" s="9"/>
      <c r="G117" s="9"/>
      <c r="H117" s="9"/>
    </row>
    <row r="118" spans="2:8" x14ac:dyDescent="0.3">
      <c r="D118" s="9"/>
      <c r="E118" s="9"/>
      <c r="F118" s="9"/>
      <c r="G118" s="9"/>
      <c r="H118" s="9"/>
    </row>
    <row r="120" spans="2:8" x14ac:dyDescent="0.3">
      <c r="C120" s="9"/>
      <c r="D120" s="9"/>
      <c r="E120" s="9"/>
      <c r="F120" s="9"/>
      <c r="G120" s="9"/>
      <c r="H120" s="9"/>
    </row>
    <row r="121" spans="2:8" x14ac:dyDescent="0.3">
      <c r="C121" s="9"/>
      <c r="D121" s="9"/>
      <c r="E121" s="9"/>
      <c r="F121" s="9"/>
      <c r="H121" s="9"/>
    </row>
    <row r="122" spans="2:8" x14ac:dyDescent="0.3">
      <c r="C122" s="9"/>
      <c r="D122" s="12"/>
      <c r="E122" s="12"/>
      <c r="F122" s="12"/>
      <c r="G122" s="9"/>
      <c r="H122" s="12"/>
    </row>
    <row r="124" spans="2:8" x14ac:dyDescent="0.3">
      <c r="B124" s="30"/>
      <c r="C124" s="30"/>
      <c r="D124" s="30"/>
      <c r="E124" s="30"/>
      <c r="F124" s="30"/>
      <c r="G124" s="30"/>
      <c r="H124" s="30"/>
    </row>
    <row r="125" spans="2:8" x14ac:dyDescent="0.3">
      <c r="B125" s="1"/>
    </row>
    <row r="126" spans="2:8" x14ac:dyDescent="0.3">
      <c r="D126" s="9"/>
      <c r="E126" s="9"/>
      <c r="F126" s="9"/>
      <c r="G126" s="9"/>
      <c r="H126" s="9"/>
    </row>
    <row r="127" spans="2:8" x14ac:dyDescent="0.3">
      <c r="D127" s="9"/>
      <c r="E127" s="9"/>
      <c r="F127" s="9"/>
      <c r="G127" s="9"/>
      <c r="H127" s="9"/>
    </row>
    <row r="128" spans="2:8" x14ac:dyDescent="0.3">
      <c r="D128" s="9"/>
      <c r="E128" s="9"/>
      <c r="F128" s="9"/>
      <c r="G128" s="9"/>
      <c r="H128" s="9"/>
    </row>
    <row r="129" spans="2:9" x14ac:dyDescent="0.3">
      <c r="D129" s="9"/>
      <c r="E129" s="9"/>
      <c r="F129" s="9"/>
      <c r="G129" s="9"/>
      <c r="H129" s="9"/>
    </row>
    <row r="130" spans="2:9" x14ac:dyDescent="0.3">
      <c r="D130" s="9"/>
      <c r="E130" s="9"/>
      <c r="F130" s="9"/>
      <c r="G130" s="9"/>
      <c r="H130" s="9"/>
    </row>
    <row r="131" spans="2:9" x14ac:dyDescent="0.3">
      <c r="D131" s="9"/>
      <c r="E131" s="9"/>
      <c r="F131" s="9"/>
      <c r="G131" s="9"/>
      <c r="H131" s="9"/>
    </row>
    <row r="133" spans="2:9" x14ac:dyDescent="0.3">
      <c r="B133" s="1"/>
    </row>
    <row r="134" spans="2:9" x14ac:dyDescent="0.3">
      <c r="D134" s="9"/>
      <c r="E134" s="9"/>
      <c r="F134" s="9"/>
      <c r="G134" s="9"/>
      <c r="H134" s="9"/>
    </row>
    <row r="135" spans="2:9" x14ac:dyDescent="0.3">
      <c r="D135" s="9"/>
      <c r="E135" s="9"/>
      <c r="F135" s="9"/>
      <c r="G135" s="9"/>
      <c r="H135" s="9"/>
      <c r="I135" s="9"/>
    </row>
    <row r="137" spans="2:9" x14ac:dyDescent="0.3">
      <c r="D137" s="16"/>
      <c r="E137" s="16"/>
      <c r="F137" s="16"/>
      <c r="G137" s="16"/>
      <c r="H137" s="16"/>
    </row>
    <row r="138" spans="2:9" x14ac:dyDescent="0.3">
      <c r="D138" s="9"/>
      <c r="E138" s="9"/>
      <c r="F138" s="9"/>
      <c r="G138" s="9"/>
      <c r="H138" s="9"/>
    </row>
    <row r="146" s="1" customFormat="1" x14ac:dyDescent="0.3"/>
    <row r="169" spans="1:1" x14ac:dyDescent="0.3">
      <c r="A169" t="s">
        <v>32</v>
      </c>
    </row>
  </sheetData>
  <mergeCells count="1">
    <mergeCell ref="A1:P1"/>
  </mergeCells>
  <phoneticPr fontId="10" type="noConversion"/>
  <pageMargins left="0.7" right="0.7" top="0.75" bottom="0.75" header="0.3" footer="0.3"/>
  <pageSetup paperSize="9" scale="3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Statement 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Sagar Kumar</cp:lastModifiedBy>
  <cp:lastPrinted>2026-08-12T07:52:18Z</cp:lastPrinted>
  <dcterms:created xsi:type="dcterms:W3CDTF">2023-10-04T09:06:02Z</dcterms:created>
  <dcterms:modified xsi:type="dcterms:W3CDTF">2026-08-15T19:22:07Z</dcterms:modified>
</cp:coreProperties>
</file>